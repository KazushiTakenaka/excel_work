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ence-my.sharepoint.com/personal/y-nayuki_mz_makerz_co_jp/Documents/デスクトップ/出力結果/D69373/"/>
    </mc:Choice>
  </mc:AlternateContent>
  <xr:revisionPtr revIDLastSave="2" documentId="8_{D49A6AE6-86BD-46D8-8F16-85939AAC78A6}" xr6:coauthVersionLast="47" xr6:coauthVersionMax="47" xr10:uidLastSave="{6DEE078A-C563-48E4-8DA3-D841A7A7736B}"/>
  <bookViews>
    <workbookView xWindow="3420" yWindow="3420" windowWidth="28800" windowHeight="15370" xr2:uid="{716393E2-0853-4AFC-9A47-950940A0805D}"/>
  </bookViews>
  <sheets>
    <sheet name="御見積書" sheetId="2" r:id="rId1"/>
  </sheets>
  <externalReferences>
    <externalReference r:id="rId2"/>
  </externalReferences>
  <definedNames>
    <definedName name="_xlnm.Print_Area" localSheetId="0">御見積書!$A$2:$H$78</definedName>
    <definedName name="判定者">[1]マスタ!$G$2:$G$15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F73" i="2"/>
  <c r="D12" i="2" l="1"/>
  <c r="D13" i="2" s="1"/>
</calcChain>
</file>

<file path=xl/sharedStrings.xml><?xml version="1.0" encoding="utf-8"?>
<sst xmlns="http://schemas.openxmlformats.org/spreadsheetml/2006/main" count="37" uniqueCount="33">
  <si>
    <t>下記の通りお見積りいたします。</t>
    <rPh sb="0" eb="2">
      <t>カキ</t>
    </rPh>
    <rPh sb="3" eb="4">
      <t>トオ</t>
    </rPh>
    <rPh sb="6" eb="8">
      <t>ミツモ</t>
    </rPh>
    <phoneticPr fontId="2"/>
  </si>
  <si>
    <t>※注文時に図面変更がある場合は金額等、</t>
    <rPh sb="1" eb="4">
      <t>チュウモンジ</t>
    </rPh>
    <rPh sb="5" eb="9">
      <t>ズメンヘンコウ</t>
    </rPh>
    <rPh sb="12" eb="14">
      <t>バアイ</t>
    </rPh>
    <rPh sb="15" eb="17">
      <t>キンガク</t>
    </rPh>
    <rPh sb="17" eb="18">
      <t>トウ</t>
    </rPh>
    <phoneticPr fontId="2"/>
  </si>
  <si>
    <t>株式会社メイカーズ</t>
  </si>
  <si>
    <t>　変更の恐れがある為、事前のご連絡をお願い致します。</t>
    <rPh sb="1" eb="3">
      <t>ヘンコウ</t>
    </rPh>
    <rPh sb="4" eb="5">
      <t>オソ</t>
    </rPh>
    <rPh sb="9" eb="10">
      <t>タメ</t>
    </rPh>
    <rPh sb="11" eb="13">
      <t>ジゼン</t>
    </rPh>
    <rPh sb="15" eb="17">
      <t>レンラク</t>
    </rPh>
    <phoneticPr fontId="2"/>
  </si>
  <si>
    <t>大阪市北区茶屋町19番19号</t>
  </si>
  <si>
    <t>アプローズタワー22階</t>
  </si>
  <si>
    <t>総計</t>
    <rPh sb="0" eb="2">
      <t>ソウケイ</t>
    </rPh>
    <phoneticPr fontId="2"/>
  </si>
  <si>
    <t>Tel:　０６-６４８５-０６８５</t>
  </si>
  <si>
    <t>税別</t>
    <rPh sb="0" eb="2">
      <t>ゼイベツ</t>
    </rPh>
    <phoneticPr fontId="2"/>
  </si>
  <si>
    <t>円</t>
    <rPh sb="0" eb="1">
      <t>エン</t>
    </rPh>
    <phoneticPr fontId="2"/>
  </si>
  <si>
    <t>見積有効期限：御見積後2週間</t>
    <rPh sb="0" eb="2">
      <t>ミツモリ</t>
    </rPh>
    <rPh sb="2" eb="6">
      <t>ユウコウキゲン</t>
    </rPh>
    <rPh sb="7" eb="11">
      <t>オミツモリゴ</t>
    </rPh>
    <rPh sb="12" eb="14">
      <t>シュウカン</t>
    </rPh>
    <phoneticPr fontId="2"/>
  </si>
  <si>
    <t>税込</t>
    <rPh sb="0" eb="2">
      <t>ゼイコ</t>
    </rPh>
    <phoneticPr fontId="2"/>
  </si>
  <si>
    <t>事業者登録番号：T3120001262434</t>
    <rPh sb="0" eb="3">
      <t>ジギョウシャ</t>
    </rPh>
    <rPh sb="3" eb="7">
      <t>トウロクバンゴウ</t>
    </rPh>
    <phoneticPr fontId="2"/>
  </si>
  <si>
    <t>連番</t>
    <rPh sb="0" eb="2">
      <t>レンバン</t>
    </rPh>
    <phoneticPr fontId="2"/>
  </si>
  <si>
    <t>品名</t>
    <rPh sb="0" eb="2">
      <t>ヒンメイ</t>
    </rPh>
    <phoneticPr fontId="2"/>
  </si>
  <si>
    <t>図番</t>
    <rPh sb="0" eb="2">
      <t>ズバン</t>
    </rPh>
    <phoneticPr fontId="2"/>
  </si>
  <si>
    <t>数量</t>
    <rPh sb="0" eb="2">
      <t>スウリョウ</t>
    </rPh>
    <phoneticPr fontId="2"/>
  </si>
  <si>
    <t>単価（税別）</t>
    <rPh sb="0" eb="2">
      <t>タンカ</t>
    </rPh>
    <rPh sb="3" eb="5">
      <t>ゼイベツ</t>
    </rPh>
    <phoneticPr fontId="2"/>
  </si>
  <si>
    <t>合計金額(税別)</t>
    <rPh sb="0" eb="4">
      <t>ゴウケイキンガク</t>
    </rPh>
    <rPh sb="5" eb="7">
      <t>ゼイベツ</t>
    </rPh>
    <phoneticPr fontId="2"/>
  </si>
  <si>
    <t>標準出荷日数(営業日)</t>
  </si>
  <si>
    <t>備考</t>
    <rPh sb="0" eb="2">
      <t>ビコウ</t>
    </rPh>
    <phoneticPr fontId="2"/>
  </si>
  <si>
    <t>※納期はお受けするタイミングや数量によって変化しますので、ご発注の際に詳細は打合せさせてください。</t>
    <rPh sb="1" eb="3">
      <t>ノウキ</t>
    </rPh>
    <phoneticPr fontId="2"/>
  </si>
  <si>
    <t>※長尺等の大物加工品については、別途輸送費をご請求させていただくことがございます。</t>
    <rPh sb="1" eb="4">
      <t>チョウジャクナド</t>
    </rPh>
    <rPh sb="5" eb="7">
      <t>オオモノ</t>
    </rPh>
    <rPh sb="7" eb="10">
      <t>カコウヒン</t>
    </rPh>
    <rPh sb="16" eb="18">
      <t>ベット</t>
    </rPh>
    <rPh sb="18" eb="21">
      <t>ユソウヒ</t>
    </rPh>
    <rPh sb="23" eb="25">
      <t>セイキュウ</t>
    </rPh>
    <phoneticPr fontId="2"/>
  </si>
  <si>
    <t>ご注文時には、CADデータのご提供をお願いする場合がございます。</t>
    <rPh sb="1" eb="4">
      <t>チュウモンジ</t>
    </rPh>
    <rPh sb="15" eb="17">
      <t>テイキョウ</t>
    </rPh>
    <rPh sb="19" eb="20">
      <t>ネガ</t>
    </rPh>
    <rPh sb="23" eb="25">
      <t>バアイ</t>
    </rPh>
    <phoneticPr fontId="2"/>
  </si>
  <si>
    <t>アンブル</t>
  </si>
  <si>
    <t>TEM2512_07-P001</t>
  </si>
  <si>
    <t>表面処理無しにて</t>
  </si>
  <si>
    <t>プレート</t>
  </si>
  <si>
    <t>TEM2512_07-P002</t>
  </si>
  <si>
    <t>TEM2512_07-P003</t>
  </si>
  <si>
    <t>TEM2512_07-P004</t>
  </si>
  <si>
    <t>ブラケット</t>
  </si>
  <si>
    <t>TEM2512_07-P005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</si>
</sst>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[$-F800]dddd\,\ mmmm\ dd\,\ yyyy"/>
    <numFmt numFmtId="178" formatCode="General\ &quot;日&quot;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9"/>
      <color rgb="FF000000"/>
      <name val="メイリオ"/>
      <family val="3"/>
      <charset val="128"/>
    </font>
    <font>
      <sz val="9"/>
      <color rgb="FF000000"/>
      <name val="メイリオ"/>
      <family val="3"/>
    </font>
    <font>
      <b/>
      <sz val="28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7" fillId="0" borderId="0" xfId="0" applyNumberFormat="1" applyFont="1">
      <alignment vertical="center"/>
    </xf>
    <xf numFmtId="0" fontId="9" fillId="0" borderId="1" xfId="0" applyFont="1" applyBorder="1">
      <alignment vertical="center"/>
    </xf>
    <xf numFmtId="0" fontId="0" fillId="0" borderId="2" xfId="0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9" fillId="0" borderId="0" xfId="0" applyFont="1">
      <alignment vertical="center"/>
    </xf>
    <xf numFmtId="0" fontId="0" fillId="0" borderId="8" xfId="0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0" fillId="0" borderId="7" xfId="0" applyBorder="1">
      <alignment vertical="center"/>
    </xf>
    <xf numFmtId="176" fontId="0" fillId="0" borderId="7" xfId="0" applyNumberForma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177" fontId="0" fillId="0" borderId="0" xfId="0" applyNumberFormat="1" applyAlignment="1">
      <alignment horizontal="center" vertical="center"/>
    </xf>
    <xf numFmtId="176" fontId="11" fillId="0" borderId="0" xfId="0" applyNumberFormat="1" applyFont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176" fontId="0" fillId="3" borderId="4" xfId="0" applyNumberFormat="1" applyFill="1" applyBorder="1">
      <alignment vertical="center"/>
    </xf>
    <xf numFmtId="0" fontId="0" fillId="3" borderId="5" xfId="0" applyFill="1" applyBorder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76" fontId="8" fillId="2" borderId="12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38" fontId="0" fillId="0" borderId="15" xfId="1" applyFont="1" applyBorder="1" applyAlignment="1">
      <alignment horizontal="center" vertical="center"/>
    </xf>
    <xf numFmtId="38" fontId="0" fillId="0" borderId="13" xfId="1" applyFont="1" applyBorder="1" applyAlignment="1">
      <alignment horizontal="center" vertical="center"/>
    </xf>
    <xf numFmtId="178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38" fontId="0" fillId="0" borderId="19" xfId="1" applyFont="1" applyBorder="1" applyAlignment="1">
      <alignment horizontal="center" vertical="center"/>
    </xf>
    <xf numFmtId="38" fontId="0" fillId="0" borderId="17" xfId="1" applyFont="1" applyBorder="1" applyAlignment="1">
      <alignment horizontal="center" vertical="center"/>
    </xf>
    <xf numFmtId="178" fontId="0" fillId="0" borderId="20" xfId="0" applyNumberForma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38" fontId="0" fillId="0" borderId="23" xfId="1" applyFont="1" applyBorder="1" applyAlignment="1">
      <alignment horizontal="center" vertical="center"/>
    </xf>
    <xf numFmtId="38" fontId="0" fillId="0" borderId="21" xfId="1" applyFont="1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49" fontId="0" fillId="0" borderId="14" xfId="0" applyNumberFormat="1" applyBorder="1" applyAlignment="1">
      <alignment horizontal="left" vertical="center"/>
    </xf>
    <xf numFmtId="49" fontId="0" fillId="0" borderId="14" xfId="0" quotePrefix="1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38" fontId="6" fillId="0" borderId="6" xfId="1" applyFont="1" applyBorder="1" applyAlignment="1">
      <alignment horizontal="right" vertical="center"/>
    </xf>
    <xf numFmtId="38" fontId="6" fillId="0" borderId="8" xfId="1" applyFont="1" applyBorder="1" applyAlignment="1">
      <alignment horizontal="right" vertical="center"/>
    </xf>
  </cellXfs>
  <cellStyles count="2">
    <cellStyle name="桁区切り 2" xfId="1" xr:uid="{2BA3C0DB-A45C-4BA5-A958-507C55476FB6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219635</xdr:colOff>
      <xdr:row>4</xdr:row>
      <xdr:rowOff>85352</xdr:rowOff>
    </xdr:from>
    <xdr:ext cx="1904066" cy="443193"/>
    <xdr:pic>
      <xdr:nvPicPr>
        <xdr:cNvPr id="3" name="図 2">
          <a:extLst>
            <a:ext uri="{FF2B5EF4-FFF2-40B4-BE49-F238E27FC236}">
              <a16:creationId xmlns:a16="http://schemas.microsoft.com/office/drawing/2014/main" id="{87D616CF-1F4D-46C3-8928-0BC03D57F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6429" y="1542117"/>
          <a:ext cx="1904066" cy="443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1524000</xdr:colOff>
      <xdr:row>1</xdr:row>
      <xdr:rowOff>212912</xdr:rowOff>
    </xdr:from>
    <xdr:to>
      <xdr:col>5</xdr:col>
      <xdr:colOff>561174</xdr:colOff>
      <xdr:row>4</xdr:row>
      <xdr:rowOff>187564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3C3B9DD-25D8-4D0C-B710-94C244249686}"/>
            </a:ext>
          </a:extLst>
        </xdr:cNvPr>
        <xdr:cNvSpPr txBox="1"/>
      </xdr:nvSpPr>
      <xdr:spPr>
        <a:xfrm>
          <a:off x="4751294" y="560294"/>
          <a:ext cx="3732439" cy="1084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800" b="1"/>
            <a:t>御見積書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eyence.sharepoint.com/sites/MZ_MAKERZ_ALL/Shared%20Documents/General/10_CS_IS/01_&#12459;&#12473;&#12479;&#12510;&#12540;&#12469;&#12509;&#12540;&#12488;/&#9632;&#21152;&#24037;&#21697;&#12522;&#12473;&#12488;.xlsx" TargetMode="External"/><Relationship Id="rId1" Type="http://schemas.openxmlformats.org/officeDocument/2006/relationships/externalLinkPath" Target="/sites/MZ_MAKERZ_ALL/Shared%20Documents/General/10_CS_IS/01_&#12459;&#12473;&#12479;&#12510;&#12540;&#12469;&#12509;&#12540;&#12488;/&#9632;&#21152;&#24037;&#21697;&#12522;&#12473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加工品一覧"/>
      <sheetName val="加工品見積フォーム"/>
      <sheetName val="指値計算シート"/>
      <sheetName val="工場からの回答フォームひな形"/>
      <sheetName val="マスタ"/>
      <sheetName val="集計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08E0-DD8E-431D-B162-3A224C93AAA7}">
  <sheetPr codeName="Sheet5">
    <tabColor rgb="FF00B0F0"/>
    <pageSetUpPr fitToPage="1"/>
  </sheetPr>
  <dimension ref="A1:H78"/>
  <sheetViews>
    <sheetView showGridLines="0" tabSelected="1" view="pageBreakPreview" zoomScale="85" zoomScaleNormal="70" zoomScaleSheetLayoutView="85" workbookViewId="0">
      <selection activeCell="A2" sqref="A2"/>
    </sheetView>
  </sheetViews>
  <sheetFormatPr defaultRowHeight="18" x14ac:dyDescent="0.55000000000000004"/>
  <cols>
    <col min="1" max="1" width="10.08203125" customWidth="1"/>
    <col min="2" max="3" width="32.25" customWidth="1"/>
    <col min="4" max="4" width="15.25" style="1" customWidth="1"/>
    <col min="5" max="5" width="14.08203125" customWidth="1"/>
    <col min="6" max="6" width="15.08203125" customWidth="1"/>
    <col min="7" max="7" width="20.75" customWidth="1"/>
    <col min="8" max="8" width="34.5" customWidth="1"/>
    <col min="9" max="9" width="45" customWidth="1"/>
    <col min="10" max="19" width="14" customWidth="1"/>
  </cols>
  <sheetData>
    <row r="1" spans="1:8" ht="27" customHeight="1" x14ac:dyDescent="0.55000000000000004"/>
    <row r="2" spans="1:8" ht="34.5" customHeight="1" x14ac:dyDescent="0.55000000000000004">
      <c r="D2" s="27"/>
      <c r="E2" s="27"/>
    </row>
    <row r="3" spans="1:8" ht="34.5" customHeight="1" x14ac:dyDescent="0.55000000000000004">
      <c r="D3" s="27"/>
      <c r="E3" s="27"/>
    </row>
    <row r="4" spans="1:8" ht="18.75" customHeight="1" x14ac:dyDescent="0.55000000000000004">
      <c r="D4" s="27"/>
      <c r="E4" s="27"/>
      <c r="G4" s="6"/>
      <c r="H4" s="26" t="str">
        <f ca="1">"作成日　　　" &amp; TEXT(TODAY(), "yyyy年mm月dd日")</f>
        <v>作成日　　　2026年01月21日</v>
      </c>
    </row>
    <row r="7" spans="1:8" x14ac:dyDescent="0.55000000000000004">
      <c r="B7" t="s">
        <v>0</v>
      </c>
    </row>
    <row r="8" spans="1:8" x14ac:dyDescent="0.55000000000000004">
      <c r="B8" s="2" t="s">
        <v>1</v>
      </c>
      <c r="H8" s="2" t="s">
        <v>2</v>
      </c>
    </row>
    <row r="9" spans="1:8" x14ac:dyDescent="0.55000000000000004">
      <c r="B9" s="2" t="s">
        <v>3</v>
      </c>
      <c r="D9"/>
      <c r="E9" s="1"/>
      <c r="H9" s="3" t="s">
        <v>4</v>
      </c>
    </row>
    <row r="10" spans="1:8" x14ac:dyDescent="0.55000000000000004">
      <c r="D10"/>
      <c r="E10" s="1"/>
      <c r="H10" s="4" t="s">
        <v>5</v>
      </c>
    </row>
    <row r="11" spans="1:8" ht="26.5" x14ac:dyDescent="0.55000000000000004">
      <c r="C11" s="5" t="s">
        <v>6</v>
      </c>
      <c r="D11"/>
      <c r="E11" s="1"/>
      <c r="H11" s="4" t="s">
        <v>7</v>
      </c>
    </row>
    <row r="12" spans="1:8" ht="29" x14ac:dyDescent="0.55000000000000004">
      <c r="C12" s="6" t="s">
        <v>8</v>
      </c>
      <c r="D12" s="62">
        <f>ROUND(SUM(F16:F2022),0)</f>
        <v>31650</v>
      </c>
      <c r="E12" s="63"/>
      <c r="F12" s="7" t="s">
        <v>9</v>
      </c>
      <c r="H12" s="4" t="s">
        <v>10</v>
      </c>
    </row>
    <row r="13" spans="1:8" ht="29" x14ac:dyDescent="0.55000000000000004">
      <c r="C13" s="6" t="s">
        <v>11</v>
      </c>
      <c r="D13" s="62">
        <f>ROUND(D12*1.1,0)</f>
        <v>34815</v>
      </c>
      <c r="E13" s="63"/>
      <c r="F13" s="7" t="s">
        <v>9</v>
      </c>
      <c r="H13" s="4" t="s">
        <v>12</v>
      </c>
    </row>
    <row r="15" spans="1:8" ht="26.25" customHeight="1" x14ac:dyDescent="0.55000000000000004">
      <c r="A15" s="33" t="s">
        <v>13</v>
      </c>
      <c r="B15" s="33" t="s">
        <v>14</v>
      </c>
      <c r="C15" s="34" t="s">
        <v>15</v>
      </c>
      <c r="D15" s="35" t="s">
        <v>16</v>
      </c>
      <c r="E15" s="36" t="s">
        <v>17</v>
      </c>
      <c r="F15" s="34" t="s">
        <v>18</v>
      </c>
      <c r="G15" s="37" t="s">
        <v>19</v>
      </c>
      <c r="H15" s="34" t="s">
        <v>20</v>
      </c>
    </row>
    <row r="16" spans="1:8" x14ac:dyDescent="0.55000000000000004">
      <c r="A16" s="38">
        <v>1</v>
      </c>
      <c r="B16" s="56" t="s">
        <v>24</v>
      </c>
      <c r="C16" s="57" t="s">
        <v>25</v>
      </c>
      <c r="D16" s="39">
        <v>1</v>
      </c>
      <c r="E16" s="40">
        <v>5030</v>
      </c>
      <c r="F16" s="41">
        <v>5030</v>
      </c>
      <c r="G16" s="42">
        <v>16</v>
      </c>
      <c r="H16" s="43" t="s">
        <v>26</v>
      </c>
    </row>
    <row r="17" spans="1:8" x14ac:dyDescent="0.55000000000000004">
      <c r="A17" s="44">
        <v>2</v>
      </c>
      <c r="B17" s="58" t="s">
        <v>27</v>
      </c>
      <c r="C17" s="59" t="s">
        <v>28</v>
      </c>
      <c r="D17" s="45">
        <v>2</v>
      </c>
      <c r="E17" s="46">
        <v>3880</v>
      </c>
      <c r="F17" s="47">
        <v>7760</v>
      </c>
      <c r="G17" s="48">
        <v>17</v>
      </c>
      <c r="H17" s="49"/>
    </row>
    <row r="18" spans="1:8" x14ac:dyDescent="0.55000000000000004">
      <c r="A18" s="44">
        <v>3</v>
      </c>
      <c r="B18" s="58" t="s">
        <v>27</v>
      </c>
      <c r="C18" s="59" t="s">
        <v>29</v>
      </c>
      <c r="D18" s="45">
        <v>2</v>
      </c>
      <c r="E18" s="46">
        <v>4590</v>
      </c>
      <c r="F18" s="47">
        <v>9180</v>
      </c>
      <c r="G18" s="48">
        <v>17</v>
      </c>
      <c r="H18" s="49"/>
    </row>
    <row r="19" spans="1:8" x14ac:dyDescent="0.55000000000000004">
      <c r="A19" s="44">
        <v>4</v>
      </c>
      <c r="B19" s="58" t="s">
        <v>27</v>
      </c>
      <c r="C19" s="59" t="s">
        <v>30</v>
      </c>
      <c r="D19" s="45">
        <v>2</v>
      </c>
      <c r="E19" s="46">
        <v>2890</v>
      </c>
      <c r="F19" s="47">
        <v>5780</v>
      </c>
      <c r="G19" s="48">
        <v>17</v>
      </c>
      <c r="H19" s="49"/>
    </row>
    <row r="20" spans="1:8" x14ac:dyDescent="0.55000000000000004">
      <c r="A20" s="44">
        <v>5</v>
      </c>
      <c r="B20" s="58" t="s">
        <v>31</v>
      </c>
      <c r="C20" s="59" t="s">
        <v>32</v>
      </c>
      <c r="D20" s="45">
        <v>2</v>
      </c>
      <c r="E20" s="46">
        <v>1950</v>
      </c>
      <c r="F20" s="47">
        <v>3900</v>
      </c>
      <c r="G20" s="48">
        <v>16</v>
      </c>
      <c r="H20" s="49"/>
    </row>
    <row r="21" spans="1:8" x14ac:dyDescent="0.55000000000000004">
      <c r="A21" s="44"/>
      <c r="B21" s="58"/>
      <c r="C21" s="59"/>
      <c r="D21" s="45"/>
      <c r="E21" s="46"/>
      <c r="F21" s="47"/>
      <c r="G21" s="48"/>
      <c r="H21" s="49"/>
    </row>
    <row r="22" spans="1:8" x14ac:dyDescent="0.55000000000000004">
      <c r="A22" s="44"/>
      <c r="B22" s="58"/>
      <c r="C22" s="59"/>
      <c r="D22" s="45"/>
      <c r="E22" s="46"/>
      <c r="F22" s="47"/>
      <c r="G22" s="48"/>
      <c r="H22" s="49"/>
    </row>
    <row r="23" spans="1:8" x14ac:dyDescent="0.55000000000000004">
      <c r="A23" s="44"/>
      <c r="B23" s="58"/>
      <c r="C23" s="59"/>
      <c r="D23" s="45"/>
      <c r="E23" s="46"/>
      <c r="F23" s="47"/>
      <c r="G23" s="48"/>
      <c r="H23" s="49"/>
    </row>
    <row r="24" spans="1:8" x14ac:dyDescent="0.55000000000000004">
      <c r="A24" s="44"/>
      <c r="B24" s="58"/>
      <c r="C24" s="59"/>
      <c r="D24" s="45"/>
      <c r="E24" s="46"/>
      <c r="F24" s="47"/>
      <c r="G24" s="48"/>
      <c r="H24" s="49"/>
    </row>
    <row r="25" spans="1:8" x14ac:dyDescent="0.55000000000000004">
      <c r="A25" s="44"/>
      <c r="B25" s="58"/>
      <c r="C25" s="59"/>
      <c r="D25" s="45"/>
      <c r="E25" s="46"/>
      <c r="F25" s="47"/>
      <c r="G25" s="48"/>
      <c r="H25" s="49"/>
    </row>
    <row r="26" spans="1:8" x14ac:dyDescent="0.55000000000000004">
      <c r="A26" s="44"/>
      <c r="B26" s="58"/>
      <c r="C26" s="59"/>
      <c r="D26" s="45"/>
      <c r="E26" s="46"/>
      <c r="F26" s="47"/>
      <c r="G26" s="48"/>
      <c r="H26" s="49"/>
    </row>
    <row r="27" spans="1:8" x14ac:dyDescent="0.55000000000000004">
      <c r="A27" s="44"/>
      <c r="B27" s="58"/>
      <c r="C27" s="59"/>
      <c r="D27" s="45"/>
      <c r="E27" s="46"/>
      <c r="F27" s="47"/>
      <c r="G27" s="48"/>
      <c r="H27" s="49"/>
    </row>
    <row r="28" spans="1:8" x14ac:dyDescent="0.55000000000000004">
      <c r="A28" s="44"/>
      <c r="B28" s="58"/>
      <c r="C28" s="59"/>
      <c r="D28" s="45"/>
      <c r="E28" s="46"/>
      <c r="F28" s="47"/>
      <c r="G28" s="48"/>
      <c r="H28" s="49"/>
    </row>
    <row r="29" spans="1:8" x14ac:dyDescent="0.55000000000000004">
      <c r="A29" s="44"/>
      <c r="B29" s="58"/>
      <c r="C29" s="59"/>
      <c r="D29" s="45"/>
      <c r="E29" s="46"/>
      <c r="F29" s="47"/>
      <c r="G29" s="48"/>
      <c r="H29" s="49"/>
    </row>
    <row r="30" spans="1:8" x14ac:dyDescent="0.55000000000000004">
      <c r="A30" s="44"/>
      <c r="B30" s="58"/>
      <c r="C30" s="59"/>
      <c r="D30" s="45"/>
      <c r="E30" s="46"/>
      <c r="F30" s="47"/>
      <c r="G30" s="48"/>
      <c r="H30" s="49"/>
    </row>
    <row r="31" spans="1:8" x14ac:dyDescent="0.55000000000000004">
      <c r="A31" s="44"/>
      <c r="B31" s="58"/>
      <c r="C31" s="59"/>
      <c r="D31" s="45"/>
      <c r="E31" s="46"/>
      <c r="F31" s="47"/>
      <c r="G31" s="48"/>
      <c r="H31" s="49"/>
    </row>
    <row r="32" spans="1:8" x14ac:dyDescent="0.55000000000000004">
      <c r="A32" s="44"/>
      <c r="B32" s="58"/>
      <c r="C32" s="59"/>
      <c r="D32" s="45"/>
      <c r="E32" s="46"/>
      <c r="F32" s="47"/>
      <c r="G32" s="48"/>
      <c r="H32" s="49"/>
    </row>
    <row r="33" spans="1:8" x14ac:dyDescent="0.55000000000000004">
      <c r="A33" s="44"/>
      <c r="B33" s="58"/>
      <c r="C33" s="59"/>
      <c r="D33" s="45"/>
      <c r="E33" s="46"/>
      <c r="F33" s="47"/>
      <c r="G33" s="48"/>
      <c r="H33" s="49"/>
    </row>
    <row r="34" spans="1:8" x14ac:dyDescent="0.55000000000000004">
      <c r="A34" s="44"/>
      <c r="B34" s="58"/>
      <c r="C34" s="59"/>
      <c r="D34" s="45"/>
      <c r="E34" s="46"/>
      <c r="F34" s="47"/>
      <c r="G34" s="48"/>
      <c r="H34" s="49"/>
    </row>
    <row r="35" spans="1:8" x14ac:dyDescent="0.55000000000000004">
      <c r="A35" s="44"/>
      <c r="B35" s="58"/>
      <c r="C35" s="59"/>
      <c r="D35" s="45"/>
      <c r="E35" s="46"/>
      <c r="F35" s="47"/>
      <c r="G35" s="48"/>
      <c r="H35" s="49"/>
    </row>
    <row r="36" spans="1:8" x14ac:dyDescent="0.55000000000000004">
      <c r="A36" s="44"/>
      <c r="B36" s="58"/>
      <c r="C36" s="59"/>
      <c r="D36" s="45"/>
      <c r="E36" s="46"/>
      <c r="F36" s="47"/>
      <c r="G36" s="48"/>
      <c r="H36" s="49"/>
    </row>
    <row r="37" spans="1:8" x14ac:dyDescent="0.55000000000000004">
      <c r="A37" s="44"/>
      <c r="B37" s="58"/>
      <c r="C37" s="59"/>
      <c r="D37" s="45"/>
      <c r="E37" s="46"/>
      <c r="F37" s="47"/>
      <c r="G37" s="48"/>
      <c r="H37" s="49"/>
    </row>
    <row r="38" spans="1:8" x14ac:dyDescent="0.55000000000000004">
      <c r="A38" s="44"/>
      <c r="B38" s="58"/>
      <c r="C38" s="59"/>
      <c r="D38" s="45"/>
      <c r="E38" s="46"/>
      <c r="F38" s="47"/>
      <c r="G38" s="48"/>
      <c r="H38" s="49"/>
    </row>
    <row r="39" spans="1:8" x14ac:dyDescent="0.55000000000000004">
      <c r="A39" s="44"/>
      <c r="B39" s="58"/>
      <c r="C39" s="59"/>
      <c r="D39" s="45"/>
      <c r="E39" s="46"/>
      <c r="F39" s="47"/>
      <c r="G39" s="48"/>
      <c r="H39" s="49"/>
    </row>
    <row r="40" spans="1:8" x14ac:dyDescent="0.55000000000000004">
      <c r="A40" s="44"/>
      <c r="B40" s="58"/>
      <c r="C40" s="59"/>
      <c r="D40" s="45"/>
      <c r="E40" s="46"/>
      <c r="F40" s="47"/>
      <c r="G40" s="48"/>
      <c r="H40" s="49"/>
    </row>
    <row r="41" spans="1:8" x14ac:dyDescent="0.55000000000000004">
      <c r="A41" s="44"/>
      <c r="B41" s="58"/>
      <c r="C41" s="59"/>
      <c r="D41" s="45"/>
      <c r="E41" s="46"/>
      <c r="F41" s="47"/>
      <c r="G41" s="48"/>
      <c r="H41" s="49"/>
    </row>
    <row r="42" spans="1:8" x14ac:dyDescent="0.55000000000000004">
      <c r="A42" s="44"/>
      <c r="B42" s="58"/>
      <c r="C42" s="59"/>
      <c r="D42" s="45"/>
      <c r="E42" s="46"/>
      <c r="F42" s="47"/>
      <c r="G42" s="48"/>
      <c r="H42" s="49"/>
    </row>
    <row r="43" spans="1:8" x14ac:dyDescent="0.55000000000000004">
      <c r="A43" s="44"/>
      <c r="B43" s="58"/>
      <c r="C43" s="59"/>
      <c r="D43" s="45"/>
      <c r="E43" s="46"/>
      <c r="F43" s="47"/>
      <c r="G43" s="48"/>
      <c r="H43" s="49"/>
    </row>
    <row r="44" spans="1:8" x14ac:dyDescent="0.55000000000000004">
      <c r="A44" s="44"/>
      <c r="B44" s="58"/>
      <c r="C44" s="59"/>
      <c r="D44" s="45"/>
      <c r="E44" s="46"/>
      <c r="F44" s="47"/>
      <c r="G44" s="48"/>
      <c r="H44" s="49"/>
    </row>
    <row r="45" spans="1:8" x14ac:dyDescent="0.55000000000000004">
      <c r="A45" s="44"/>
      <c r="B45" s="58"/>
      <c r="C45" s="59"/>
      <c r="D45" s="45"/>
      <c r="E45" s="46"/>
      <c r="F45" s="47"/>
      <c r="G45" s="48"/>
      <c r="H45" s="49"/>
    </row>
    <row r="46" spans="1:8" x14ac:dyDescent="0.55000000000000004">
      <c r="A46" s="44"/>
      <c r="B46" s="58"/>
      <c r="C46" s="59"/>
      <c r="D46" s="45"/>
      <c r="E46" s="46"/>
      <c r="F46" s="47"/>
      <c r="G46" s="48"/>
      <c r="H46" s="49"/>
    </row>
    <row r="47" spans="1:8" x14ac:dyDescent="0.55000000000000004">
      <c r="A47" s="44"/>
      <c r="B47" s="58"/>
      <c r="C47" s="59"/>
      <c r="D47" s="45"/>
      <c r="E47" s="46"/>
      <c r="F47" s="47"/>
      <c r="G47" s="48"/>
      <c r="H47" s="49"/>
    </row>
    <row r="48" spans="1:8" x14ac:dyDescent="0.55000000000000004">
      <c r="A48" s="44"/>
      <c r="B48" s="58"/>
      <c r="C48" s="59"/>
      <c r="D48" s="45"/>
      <c r="E48" s="46"/>
      <c r="F48" s="47"/>
      <c r="G48" s="48"/>
      <c r="H48" s="49"/>
    </row>
    <row r="49" spans="1:8" x14ac:dyDescent="0.55000000000000004">
      <c r="A49" s="44"/>
      <c r="B49" s="58"/>
      <c r="C49" s="59"/>
      <c r="D49" s="45"/>
      <c r="E49" s="46"/>
      <c r="F49" s="47"/>
      <c r="G49" s="48"/>
      <c r="H49" s="49"/>
    </row>
    <row r="50" spans="1:8" x14ac:dyDescent="0.55000000000000004">
      <c r="A50" s="44"/>
      <c r="B50" s="58"/>
      <c r="C50" s="59"/>
      <c r="D50" s="45"/>
      <c r="E50" s="46"/>
      <c r="F50" s="47"/>
      <c r="G50" s="48"/>
      <c r="H50" s="49"/>
    </row>
    <row r="51" spans="1:8" x14ac:dyDescent="0.55000000000000004">
      <c r="A51" s="44"/>
      <c r="B51" s="58"/>
      <c r="C51" s="59"/>
      <c r="D51" s="45"/>
      <c r="E51" s="46"/>
      <c r="F51" s="47"/>
      <c r="G51" s="48"/>
      <c r="H51" s="49"/>
    </row>
    <row r="52" spans="1:8" x14ac:dyDescent="0.55000000000000004">
      <c r="A52" s="44"/>
      <c r="B52" s="58"/>
      <c r="C52" s="59"/>
      <c r="D52" s="45"/>
      <c r="E52" s="46"/>
      <c r="F52" s="47"/>
      <c r="G52" s="48"/>
      <c r="H52" s="49"/>
    </row>
    <row r="53" spans="1:8" x14ac:dyDescent="0.55000000000000004">
      <c r="A53" s="44"/>
      <c r="B53" s="58"/>
      <c r="C53" s="59"/>
      <c r="D53" s="45"/>
      <c r="E53" s="46"/>
      <c r="F53" s="47"/>
      <c r="G53" s="48"/>
      <c r="H53" s="49"/>
    </row>
    <row r="54" spans="1:8" x14ac:dyDescent="0.55000000000000004">
      <c r="A54" s="44"/>
      <c r="B54" s="58"/>
      <c r="C54" s="59"/>
      <c r="D54" s="45"/>
      <c r="E54" s="46"/>
      <c r="F54" s="47"/>
      <c r="G54" s="48"/>
      <c r="H54" s="49"/>
    </row>
    <row r="55" spans="1:8" x14ac:dyDescent="0.55000000000000004">
      <c r="A55" s="44"/>
      <c r="B55" s="58"/>
      <c r="C55" s="59"/>
      <c r="D55" s="45"/>
      <c r="E55" s="46"/>
      <c r="F55" s="47"/>
      <c r="G55" s="48"/>
      <c r="H55" s="49"/>
    </row>
    <row r="56" spans="1:8" x14ac:dyDescent="0.55000000000000004">
      <c r="A56" s="44"/>
      <c r="B56" s="58"/>
      <c r="C56" s="59"/>
      <c r="D56" s="45"/>
      <c r="E56" s="46"/>
      <c r="F56" s="47"/>
      <c r="G56" s="48"/>
      <c r="H56" s="49"/>
    </row>
    <row r="57" spans="1:8" x14ac:dyDescent="0.55000000000000004">
      <c r="A57" s="44"/>
      <c r="B57" s="58"/>
      <c r="C57" s="59"/>
      <c r="D57" s="45"/>
      <c r="E57" s="46"/>
      <c r="F57" s="47"/>
      <c r="G57" s="48"/>
      <c r="H57" s="49"/>
    </row>
    <row r="58" spans="1:8" x14ac:dyDescent="0.55000000000000004">
      <c r="A58" s="44"/>
      <c r="B58" s="58"/>
      <c r="C58" s="59"/>
      <c r="D58" s="45"/>
      <c r="E58" s="46"/>
      <c r="F58" s="47"/>
      <c r="G58" s="48"/>
      <c r="H58" s="49"/>
    </row>
    <row r="59" spans="1:8" x14ac:dyDescent="0.55000000000000004">
      <c r="A59" s="44"/>
      <c r="B59" s="58"/>
      <c r="C59" s="59"/>
      <c r="D59" s="45"/>
      <c r="E59" s="46"/>
      <c r="F59" s="47"/>
      <c r="G59" s="48"/>
      <c r="H59" s="49"/>
    </row>
    <row r="60" spans="1:8" x14ac:dyDescent="0.55000000000000004">
      <c r="A60" s="44"/>
      <c r="B60" s="58"/>
      <c r="C60" s="59"/>
      <c r="D60" s="45"/>
      <c r="E60" s="46"/>
      <c r="F60" s="47"/>
      <c r="G60" s="48"/>
      <c r="H60" s="49"/>
    </row>
    <row r="61" spans="1:8" x14ac:dyDescent="0.55000000000000004">
      <c r="A61" s="44"/>
      <c r="B61" s="58"/>
      <c r="C61" s="59"/>
      <c r="D61" s="45"/>
      <c r="E61" s="46"/>
      <c r="F61" s="47"/>
      <c r="G61" s="48"/>
      <c r="H61" s="49"/>
    </row>
    <row r="62" spans="1:8" x14ac:dyDescent="0.55000000000000004">
      <c r="A62" s="44"/>
      <c r="B62" s="58"/>
      <c r="C62" s="59"/>
      <c r="D62" s="45"/>
      <c r="E62" s="46"/>
      <c r="F62" s="47"/>
      <c r="G62" s="48"/>
      <c r="H62" s="49"/>
    </row>
    <row r="63" spans="1:8" x14ac:dyDescent="0.55000000000000004">
      <c r="A63" s="44"/>
      <c r="B63" s="58"/>
      <c r="C63" s="59"/>
      <c r="D63" s="45"/>
      <c r="E63" s="46"/>
      <c r="F63" s="47"/>
      <c r="G63" s="48"/>
      <c r="H63" s="49"/>
    </row>
    <row r="64" spans="1:8" x14ac:dyDescent="0.55000000000000004">
      <c r="A64" s="44"/>
      <c r="B64" s="58"/>
      <c r="C64" s="59"/>
      <c r="D64" s="45"/>
      <c r="E64" s="46"/>
      <c r="F64" s="47"/>
      <c r="G64" s="48"/>
      <c r="H64" s="49"/>
    </row>
    <row r="65" spans="1:8" x14ac:dyDescent="0.55000000000000004">
      <c r="A65" s="44"/>
      <c r="B65" s="58"/>
      <c r="C65" s="59"/>
      <c r="D65" s="45"/>
      <c r="E65" s="46"/>
      <c r="F65" s="47"/>
      <c r="G65" s="48"/>
      <c r="H65" s="49"/>
    </row>
    <row r="66" spans="1:8" x14ac:dyDescent="0.55000000000000004">
      <c r="A66" s="44"/>
      <c r="B66" s="58"/>
      <c r="C66" s="59"/>
      <c r="D66" s="45"/>
      <c r="E66" s="46"/>
      <c r="F66" s="47"/>
      <c r="G66" s="48"/>
      <c r="H66" s="49"/>
    </row>
    <row r="67" spans="1:8" x14ac:dyDescent="0.55000000000000004">
      <c r="A67" s="44"/>
      <c r="B67" s="58"/>
      <c r="C67" s="59"/>
      <c r="D67" s="45"/>
      <c r="E67" s="46"/>
      <c r="F67" s="47"/>
      <c r="G67" s="48"/>
      <c r="H67" s="49"/>
    </row>
    <row r="68" spans="1:8" x14ac:dyDescent="0.55000000000000004">
      <c r="A68" s="44"/>
      <c r="B68" s="58"/>
      <c r="C68" s="59"/>
      <c r="D68" s="45"/>
      <c r="E68" s="46"/>
      <c r="F68" s="47"/>
      <c r="G68" s="48"/>
      <c r="H68" s="49"/>
    </row>
    <row r="69" spans="1:8" x14ac:dyDescent="0.55000000000000004">
      <c r="A69" s="44"/>
      <c r="B69" s="58"/>
      <c r="C69" s="59"/>
      <c r="D69" s="45"/>
      <c r="E69" s="46"/>
      <c r="F69" s="47"/>
      <c r="G69" s="48"/>
      <c r="H69" s="49"/>
    </row>
    <row r="70" spans="1:8" x14ac:dyDescent="0.55000000000000004">
      <c r="A70" s="44"/>
      <c r="B70" s="58"/>
      <c r="C70" s="59"/>
      <c r="D70" s="45"/>
      <c r="E70" s="46"/>
      <c r="F70" s="47"/>
      <c r="G70" s="48"/>
      <c r="H70" s="49"/>
    </row>
    <row r="71" spans="1:8" x14ac:dyDescent="0.55000000000000004">
      <c r="A71" s="44"/>
      <c r="B71" s="58"/>
      <c r="C71" s="59"/>
      <c r="D71" s="45"/>
      <c r="E71" s="46"/>
      <c r="F71" s="47"/>
      <c r="G71" s="48"/>
      <c r="H71" s="49"/>
    </row>
    <row r="72" spans="1:8" x14ac:dyDescent="0.55000000000000004">
      <c r="A72" s="50"/>
      <c r="B72" s="60"/>
      <c r="C72" s="61"/>
      <c r="D72" s="51"/>
      <c r="E72" s="52"/>
      <c r="F72" s="53"/>
      <c r="G72" s="54"/>
      <c r="H72" s="55"/>
    </row>
    <row r="73" spans="1:8" x14ac:dyDescent="0.55000000000000004">
      <c r="A73" s="28" t="s">
        <v>20</v>
      </c>
      <c r="B73" s="29"/>
      <c r="C73" s="30"/>
      <c r="D73" s="31"/>
      <c r="E73" s="30"/>
      <c r="F73" s="30" t="str">
        <f t="shared" ref="F73" si="0">IF($D73="","",$D73*$E73)</f>
        <v/>
      </c>
      <c r="G73" s="30"/>
      <c r="H73" s="32"/>
    </row>
    <row r="74" spans="1:8" x14ac:dyDescent="0.55000000000000004">
      <c r="A74" s="17" t="s">
        <v>21</v>
      </c>
      <c r="B74" s="18"/>
      <c r="C74" s="19"/>
      <c r="D74" s="20"/>
      <c r="E74" s="19"/>
      <c r="F74" s="19"/>
      <c r="G74" s="19"/>
      <c r="H74" s="16"/>
    </row>
    <row r="75" spans="1:8" x14ac:dyDescent="0.55000000000000004">
      <c r="A75" s="21" t="s">
        <v>22</v>
      </c>
      <c r="B75" s="22"/>
      <c r="C75" s="23"/>
      <c r="D75" s="24"/>
      <c r="E75" s="23"/>
      <c r="F75" s="23"/>
      <c r="G75" s="23"/>
      <c r="H75" s="25"/>
    </row>
    <row r="76" spans="1:8" x14ac:dyDescent="0.55000000000000004">
      <c r="A76" s="8" t="s">
        <v>23</v>
      </c>
      <c r="B76" s="15"/>
      <c r="H76" s="9"/>
    </row>
    <row r="77" spans="1:8" x14ac:dyDescent="0.55000000000000004">
      <c r="A77" s="8"/>
      <c r="B77" s="15"/>
      <c r="H77" s="9"/>
    </row>
    <row r="78" spans="1:8" x14ac:dyDescent="0.55000000000000004">
      <c r="A78" s="10"/>
      <c r="B78" s="11"/>
      <c r="C78" s="12"/>
      <c r="D78" s="13"/>
      <c r="E78" s="12"/>
      <c r="F78" s="12"/>
      <c r="G78" s="12"/>
      <c r="H78" s="14"/>
    </row>
  </sheetData>
  <mergeCells count="2">
    <mergeCell ref="D12:E12"/>
    <mergeCell ref="D13:E13"/>
  </mergeCells>
  <phoneticPr fontId="2"/>
  <pageMargins left="0.7" right="0.7" top="0.75" bottom="0.75" header="0.3" footer="0.3"/>
  <pageSetup paperSize="9"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02034-fc3a-42e5-8d38-4ca5800a6aa4" xsi:nil="true"/>
    <lcf76f155ced4ddcb4097134ff3c332f xmlns="0c8c20bd-7f39-40a5-95b0-ca436b2628e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75D6F13198A459B18A3E4F3428452" ma:contentTypeVersion="13" ma:contentTypeDescription="新しいドキュメントを作成します。" ma:contentTypeScope="" ma:versionID="bf47684f74d969847d574ad3749616d9">
  <xsd:schema xmlns:xsd="http://www.w3.org/2001/XMLSchema" xmlns:xs="http://www.w3.org/2001/XMLSchema" xmlns:p="http://schemas.microsoft.com/office/2006/metadata/properties" xmlns:ns2="0c8c20bd-7f39-40a5-95b0-ca436b2628ed" xmlns:ns3="3aa02034-fc3a-42e5-8d38-4ca5800a6aa4" targetNamespace="http://schemas.microsoft.com/office/2006/metadata/properties" ma:root="true" ma:fieldsID="f9401094aff9ece2fc4012f04a0ecc8d" ns2:_="" ns3:_="">
    <xsd:import namespace="0c8c20bd-7f39-40a5-95b0-ca436b2628ed"/>
    <xsd:import namespace="3aa02034-fc3a-42e5-8d38-4ca5800a6a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c20bd-7f39-40a5-95b0-ca436b2628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6f36a2e-4e23-45d7-8773-106dbb1cb2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02034-fc3a-42e5-8d38-4ca5800a6a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a5b440-3b35-477f-9861-87304b4cc9da}" ma:internalName="TaxCatchAll" ma:showField="CatchAllData" ma:web="3aa02034-fc3a-42e5-8d38-4ca5800a6a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A0EB5-5AA0-4025-8F9F-C7E3B7843B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B6DB3-A4BD-4625-86AA-DA50F5B7EA38}">
  <ds:schemaRefs>
    <ds:schemaRef ds:uri="http://schemas.microsoft.com/office/2006/metadata/properties"/>
    <ds:schemaRef ds:uri="http://schemas.microsoft.com/office/infopath/2007/PartnerControls"/>
    <ds:schemaRef ds:uri="3aa02034-fc3a-42e5-8d38-4ca5800a6aa4"/>
    <ds:schemaRef ds:uri="0c8c20bd-7f39-40a5-95b0-ca436b2628ed"/>
  </ds:schemaRefs>
</ds:datastoreItem>
</file>

<file path=customXml/itemProps3.xml><?xml version="1.0" encoding="utf-8"?>
<ds:datastoreItem xmlns:ds="http://schemas.openxmlformats.org/officeDocument/2006/customXml" ds:itemID="{8422A474-D5C4-4090-9658-767C5B29F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c20bd-7f39-40a5-95b0-ca436b2628ed"/>
    <ds:schemaRef ds:uri="3aa02034-fc3a-42e5-8d38-4ca5800a6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b5ba35d-2056-41eb-8d89-b0ad0e93d131}" enabled="0" method="" siteId="{cb5ba35d-2056-41eb-8d89-b0ad0e93d1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御見積書</vt:lpstr>
      <vt:lpstr>御見積書!Print_Area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山田 康太</dc:creator>
  <cp:keywords/>
  <dc:description/>
  <cp:lastModifiedBy>名幸 優花＊</cp:lastModifiedBy>
  <cp:revision/>
  <dcterms:created xsi:type="dcterms:W3CDTF">2024-12-26T09:16:52Z</dcterms:created>
  <dcterms:modified xsi:type="dcterms:W3CDTF">2026-01-21T00:34:08Z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0x010100AD375D6F13198A459B18A3E4F3428452</vt:lpwstr>
  </property>
  <property fmtid="{D5CDD505-2E9C-101B-9397-08002B2CF9AE}" pid="3" name="MediaServiceImageTags">
    <vt:lpwstr/>
  </property>
</Properties>
</file>